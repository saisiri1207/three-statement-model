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Not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;&quot;($&quot;#,##0\);\-"/>
    <numFmt numFmtId="165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B365D"/>
      <sz val="16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B365D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FF3BF"/>
        <bgColor rgb="FFFFFF99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BF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8" min="1" max="1"/>
    <col width="15" customWidth="1" style="8" min="2" max="4"/>
    <col width="15" customWidth="1" style="9" min="3" max="3"/>
    <col width="15" customWidth="1" style="9" min="4" max="4"/>
  </cols>
  <sheetData>
    <row r="1" ht="19.7" customHeight="1" s="9">
      <c r="A1" s="10" t="inlineStr">
        <is>
          <t>Northline — three-statement model (fictional, annual)</t>
        </is>
      </c>
    </row>
    <row r="3" ht="15" customHeight="1" s="9">
      <c r="A3" s="11" t="inlineStr">
        <is>
          <t>Item</t>
        </is>
      </c>
      <c r="B3" s="11" t="inlineStr">
        <is>
          <t>Year 1</t>
        </is>
      </c>
      <c r="C3" s="11" t="inlineStr">
        <is>
          <t>Year 2</t>
        </is>
      </c>
      <c r="D3" s="11" t="inlineStr">
        <is>
          <t>Year 3</t>
        </is>
      </c>
    </row>
    <row r="4" ht="15" customHeight="1" s="9">
      <c r="A4" s="12" t="inlineStr">
        <is>
          <t>Revenue</t>
        </is>
      </c>
      <c r="B4" s="13" t="n">
        <v>12000000</v>
      </c>
      <c r="C4" s="13" t="n">
        <v>13200000</v>
      </c>
      <c r="D4" s="13" t="n">
        <v>14520000</v>
      </c>
    </row>
    <row r="5" ht="15" customHeight="1" s="9">
      <c r="A5" s="12" t="inlineStr">
        <is>
          <t>COGS % of revenue</t>
        </is>
      </c>
      <c r="B5" s="14" t="n">
        <v>0.61</v>
      </c>
      <c r="C5" s="14" t="n">
        <v>0.605</v>
      </c>
      <c r="D5" s="14" t="n">
        <v>0.6</v>
      </c>
    </row>
    <row r="6" ht="15" customHeight="1" s="9">
      <c r="A6" s="12" t="inlineStr">
        <is>
          <t>OpEx (ex-D&amp;A)</t>
        </is>
      </c>
      <c r="B6" s="13" t="n">
        <v>2800000</v>
      </c>
      <c r="C6" s="13" t="n">
        <v>2940000</v>
      </c>
      <c r="D6" s="13" t="n">
        <v>3080000</v>
      </c>
    </row>
    <row r="7" ht="15" customHeight="1" s="9">
      <c r="A7" s="12" t="inlineStr">
        <is>
          <t>D&amp;A</t>
        </is>
      </c>
      <c r="B7" s="13" t="n">
        <v>420000</v>
      </c>
      <c r="C7" s="13" t="n">
        <v>450000</v>
      </c>
      <c r="D7" s="13" t="n">
        <v>480000</v>
      </c>
    </row>
    <row r="8" ht="15" customHeight="1" s="9">
      <c r="A8" s="12" t="inlineStr">
        <is>
          <t>Interest</t>
        </is>
      </c>
      <c r="B8" s="13" t="n">
        <v>180000</v>
      </c>
      <c r="C8" s="13" t="n">
        <v>165000</v>
      </c>
      <c r="D8" s="13" t="n">
        <v>150000</v>
      </c>
    </row>
    <row r="9" ht="15" customHeight="1" s="9">
      <c r="A9" s="12" t="inlineStr">
        <is>
          <t>Tax rate</t>
        </is>
      </c>
      <c r="B9" s="14" t="n">
        <v>0.21</v>
      </c>
      <c r="C9" s="14" t="n">
        <v>0.21</v>
      </c>
      <c r="D9" s="14" t="n">
        <v>0.21</v>
      </c>
    </row>
    <row r="10" ht="15" customHeight="1" s="9">
      <c r="A10" s="12" t="inlineStr">
        <is>
          <t>Capex</t>
        </is>
      </c>
      <c r="B10" s="13" t="n">
        <v>500000</v>
      </c>
      <c r="C10" s="13" t="n">
        <v>480000</v>
      </c>
      <c r="D10" s="13" t="n">
        <v>460000</v>
      </c>
    </row>
    <row r="11" ht="15" customHeight="1" s="9">
      <c r="A11" s="12" t="inlineStr">
        <is>
          <t>Change in NWC (use of cash if +)</t>
        </is>
      </c>
      <c r="B11" s="13" t="n">
        <v>150000</v>
      </c>
      <c r="C11" s="13" t="n">
        <v>120000</v>
      </c>
      <c r="D11" s="13" t="n">
        <v>90000</v>
      </c>
    </row>
    <row r="12" ht="15" customHeight="1" s="9">
      <c r="A12" s="12" t="inlineStr">
        <is>
          <t>Debt issued / (repaid)</t>
        </is>
      </c>
      <c r="B12" s="13" t="n">
        <v>-200000</v>
      </c>
      <c r="C12" s="13" t="n">
        <v>-200000</v>
      </c>
      <c r="D12" s="13" t="n">
        <v>-200000</v>
      </c>
    </row>
    <row r="13" ht="15" customHeight="1" s="9">
      <c r="A13" s="12" t="inlineStr">
        <is>
          <t>Dividends</t>
        </is>
      </c>
      <c r="B13" s="13" t="n">
        <v>0</v>
      </c>
      <c r="C13" s="13" t="n">
        <v>0</v>
      </c>
      <c r="D13" s="13" t="n">
        <v>0</v>
      </c>
    </row>
    <row r="14" ht="15" customHeight="1" s="9">
      <c r="A14" s="12" t="inlineStr">
        <is>
          <t>Opening cash</t>
        </is>
      </c>
      <c r="B14" s="13" t="n">
        <v>650000</v>
      </c>
      <c r="C14" s="15">
        <f>CF!B15</f>
        <v/>
      </c>
      <c r="D14" s="15">
        <f>CF!C15</f>
        <v/>
      </c>
    </row>
    <row r="15" ht="15" customHeight="1" s="9">
      <c r="A15" s="12" t="inlineStr">
        <is>
          <t>Opening net PP&amp;E</t>
        </is>
      </c>
      <c r="B15" s="13" t="n">
        <v>3200000</v>
      </c>
      <c r="C15" s="15">
        <f>BS!B6</f>
        <v/>
      </c>
      <c r="D15" s="15">
        <f>BS!C6</f>
        <v/>
      </c>
    </row>
    <row r="16" ht="15" customHeight="1" s="9">
      <c r="A16" s="12" t="inlineStr">
        <is>
          <t>Opening debt</t>
        </is>
      </c>
      <c r="B16" s="13" t="n">
        <v>1800000</v>
      </c>
      <c r="C16" s="16" t="n"/>
      <c r="D16" s="16" t="n"/>
    </row>
    <row r="17" ht="15" customHeight="1" s="9">
      <c r="A17" s="12" t="inlineStr">
        <is>
          <t>Opening equity</t>
        </is>
      </c>
      <c r="B17" s="13" t="n">
        <v>2950000</v>
      </c>
      <c r="C17" s="16" t="n"/>
      <c r="D17" s="16" t="n"/>
    </row>
    <row r="18">
      <c r="A18" s="17" t="inlineStr">
        <is>
          <t>Opening net working capital</t>
        </is>
      </c>
      <c r="B18" s="18" t="n">
        <v>900000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8" min="1" max="1"/>
    <col width="15" customWidth="1" style="9" min="2" max="2"/>
    <col width="15" customWidth="1" style="9" min="3" max="3"/>
    <col width="15" customWidth="1" style="9" min="4" max="4"/>
  </cols>
  <sheetData>
    <row r="1" ht="19.7" customHeight="1" s="9">
      <c r="A1" s="10" t="inlineStr">
        <is>
          <t>Income statement</t>
        </is>
      </c>
    </row>
    <row r="3" ht="15" customHeight="1" s="9">
      <c r="A3" s="11" t="inlineStr">
        <is>
          <t>Line</t>
        </is>
      </c>
      <c r="B3" s="11" t="inlineStr">
        <is>
          <t>Year 1</t>
        </is>
      </c>
      <c r="C3" s="11" t="inlineStr">
        <is>
          <t>Year 2</t>
        </is>
      </c>
      <c r="D3" s="11" t="inlineStr">
        <is>
          <t>Year 3</t>
        </is>
      </c>
    </row>
    <row r="4" ht="23.85" customHeight="1" s="9">
      <c r="A4" s="12" t="inlineStr">
        <is>
          <t>Revenue</t>
        </is>
      </c>
      <c r="B4" s="15">
        <f>Assumptions!B4</f>
        <v/>
      </c>
      <c r="C4" s="15">
        <f>Assumptions!C4</f>
        <v/>
      </c>
      <c r="D4" s="15">
        <f>Assumptions!D4</f>
        <v/>
      </c>
    </row>
    <row r="5" ht="23.85" customHeight="1" s="9">
      <c r="A5" s="12" t="inlineStr">
        <is>
          <t>COGS</t>
        </is>
      </c>
      <c r="B5" s="15">
        <f>B4*Assumptions!B5</f>
        <v/>
      </c>
      <c r="C5" s="15">
        <f>C4*Assumptions!C5</f>
        <v/>
      </c>
      <c r="D5" s="15">
        <f>D4*Assumptions!D5</f>
        <v/>
      </c>
    </row>
    <row r="6" ht="23.85" customHeight="1" s="9">
      <c r="A6" s="12" t="inlineStr">
        <is>
          <t>Gross profit</t>
        </is>
      </c>
      <c r="B6" s="15">
        <f>B4-B5</f>
        <v/>
      </c>
      <c r="C6" s="15">
        <f>C4-C5</f>
        <v/>
      </c>
      <c r="D6" s="15">
        <f>D4-D5</f>
        <v/>
      </c>
    </row>
    <row r="7" ht="23.85" customHeight="1" s="9">
      <c r="A7" s="12" t="inlineStr">
        <is>
          <t>OpEx (ex-D&amp;A)</t>
        </is>
      </c>
      <c r="B7" s="15">
        <f>Assumptions!B6</f>
        <v/>
      </c>
      <c r="C7" s="15">
        <f>Assumptions!C6</f>
        <v/>
      </c>
      <c r="D7" s="15">
        <f>Assumptions!D6</f>
        <v/>
      </c>
    </row>
    <row r="8" ht="15" customHeight="1" s="9">
      <c r="A8" s="12" t="inlineStr">
        <is>
          <t>D&amp;A</t>
        </is>
      </c>
      <c r="B8" s="15">
        <f>Assumptions!B7</f>
        <v/>
      </c>
      <c r="C8" s="15">
        <f>Assumptions!C7</f>
        <v/>
      </c>
      <c r="D8" s="15">
        <f>Assumptions!D7</f>
        <v/>
      </c>
    </row>
    <row r="9" ht="23.85" customHeight="1" s="9">
      <c r="A9" s="12" t="inlineStr">
        <is>
          <t>EBIT</t>
        </is>
      </c>
      <c r="B9" s="15">
        <f>B6-B7-B8</f>
        <v/>
      </c>
      <c r="C9" s="15">
        <f>C6-C7-C8</f>
        <v/>
      </c>
      <c r="D9" s="15">
        <f>D6-D7-D8</f>
        <v/>
      </c>
    </row>
    <row r="10" ht="15" customHeight="1" s="9">
      <c r="A10" s="12" t="inlineStr">
        <is>
          <t>Interest</t>
        </is>
      </c>
      <c r="B10" s="15">
        <f>Assumptions!B8</f>
        <v/>
      </c>
      <c r="C10" s="15">
        <f>Assumptions!C8</f>
        <v/>
      </c>
      <c r="D10" s="15">
        <f>Assumptions!D8</f>
        <v/>
      </c>
    </row>
    <row r="11" ht="23.85" customHeight="1" s="9">
      <c r="A11" s="12" t="inlineStr">
        <is>
          <t>EBT</t>
        </is>
      </c>
      <c r="B11" s="15">
        <f>B9-B10</f>
        <v/>
      </c>
      <c r="C11" s="15">
        <f>C9-C10</f>
        <v/>
      </c>
      <c r="D11" s="15">
        <f>D9-D10</f>
        <v/>
      </c>
    </row>
    <row r="12" ht="15" customHeight="1" s="9">
      <c r="A12" s="12" t="inlineStr">
        <is>
          <t>Tax</t>
        </is>
      </c>
      <c r="B12" s="15">
        <f>B11*Assumptions!B9</f>
        <v/>
      </c>
      <c r="C12" s="15">
        <f>C11*Assumptions!C9</f>
        <v/>
      </c>
      <c r="D12" s="15">
        <f>D11*Assumptions!D9</f>
        <v/>
      </c>
    </row>
    <row r="13" ht="23.85" customHeight="1" s="9">
      <c r="A13" s="12" t="inlineStr">
        <is>
          <t>Net income</t>
        </is>
      </c>
      <c r="B13" s="15">
        <f>B11-B12</f>
        <v/>
      </c>
      <c r="C13" s="15">
        <f>C11-C12</f>
        <v/>
      </c>
      <c r="D13" s="15">
        <f>D11-D12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8" min="1" max="1"/>
    <col width="15" customWidth="1" style="9" min="2" max="2"/>
    <col width="15" customWidth="1" style="9" min="3" max="3"/>
    <col width="15" customWidth="1" style="9" min="4" max="4"/>
  </cols>
  <sheetData>
    <row r="1" ht="19.7" customHeight="1" s="9">
      <c r="A1" s="10" t="inlineStr">
        <is>
          <t>Cash flow</t>
        </is>
      </c>
    </row>
    <row r="3" ht="15" customHeight="1" s="9">
      <c r="A3" s="11" t="inlineStr">
        <is>
          <t>Line</t>
        </is>
      </c>
      <c r="B3" s="11" t="inlineStr">
        <is>
          <t>Year 1</t>
        </is>
      </c>
      <c r="C3" s="11" t="inlineStr">
        <is>
          <t>Year 2</t>
        </is>
      </c>
      <c r="D3" s="11" t="inlineStr">
        <is>
          <t>Year 3</t>
        </is>
      </c>
    </row>
    <row r="4" ht="23.85" customHeight="1" s="9">
      <c r="A4" s="12" t="inlineStr">
        <is>
          <t>Net income</t>
        </is>
      </c>
      <c r="B4" s="15">
        <f>IS!B13</f>
        <v/>
      </c>
      <c r="C4" s="15">
        <f>IS!C13</f>
        <v/>
      </c>
      <c r="D4" s="15">
        <f>IS!D13</f>
        <v/>
      </c>
    </row>
    <row r="5" ht="15" customHeight="1" s="9">
      <c r="A5" s="12" t="inlineStr">
        <is>
          <t>+ D&amp;A</t>
        </is>
      </c>
      <c r="B5" s="15">
        <f>IS!B8</f>
        <v/>
      </c>
      <c r="C5" s="15">
        <f>IS!C8</f>
        <v/>
      </c>
      <c r="D5" s="15">
        <f>IS!D8</f>
        <v/>
      </c>
    </row>
    <row r="6" ht="15" customHeight="1" s="9">
      <c r="A6" s="12" t="inlineStr">
        <is>
          <t>− Increase in NWC</t>
        </is>
      </c>
      <c r="B6" s="15">
        <f>-Assumptions!B11</f>
        <v/>
      </c>
      <c r="C6" s="15">
        <f>-Assumptions!C11</f>
        <v/>
      </c>
      <c r="D6" s="15">
        <f>-Assumptions!D11</f>
        <v/>
      </c>
    </row>
    <row r="7" ht="23.85" customHeight="1" s="9">
      <c r="A7" s="12" t="inlineStr">
        <is>
          <t>CFO</t>
        </is>
      </c>
      <c r="B7" s="15">
        <f>B4+B5+B6</f>
        <v/>
      </c>
      <c r="C7" s="15">
        <f>C4+C5+C6</f>
        <v/>
      </c>
      <c r="D7" s="15">
        <f>D4+D5+D6</f>
        <v/>
      </c>
    </row>
    <row r="8" ht="15" customHeight="1" s="9">
      <c r="A8" s="12" t="inlineStr">
        <is>
          <t>Capex</t>
        </is>
      </c>
      <c r="B8" s="15">
        <f>-Assumptions!B10</f>
        <v/>
      </c>
      <c r="C8" s="15">
        <f>-Assumptions!C10</f>
        <v/>
      </c>
      <c r="D8" s="15">
        <f>-Assumptions!D10</f>
        <v/>
      </c>
    </row>
    <row r="9" ht="15" customHeight="1" s="9">
      <c r="A9" s="12" t="inlineStr">
        <is>
          <t>CFI</t>
        </is>
      </c>
      <c r="B9" s="15">
        <f>B8</f>
        <v/>
      </c>
      <c r="C9" s="15">
        <f>C8</f>
        <v/>
      </c>
      <c r="D9" s="15">
        <f>D8</f>
        <v/>
      </c>
    </row>
    <row r="10" ht="15" customHeight="1" s="9">
      <c r="A10" s="12" t="inlineStr">
        <is>
          <t>Debt issued/(repaid)</t>
        </is>
      </c>
      <c r="B10" s="15">
        <f>Assumptions!B12</f>
        <v/>
      </c>
      <c r="C10" s="15">
        <f>Assumptions!C12</f>
        <v/>
      </c>
      <c r="D10" s="15">
        <f>Assumptions!D12</f>
        <v/>
      </c>
    </row>
    <row r="11" ht="15" customHeight="1" s="9">
      <c r="A11" s="12" t="inlineStr">
        <is>
          <t>Dividends</t>
        </is>
      </c>
      <c r="B11" s="15">
        <f>-Assumptions!B13</f>
        <v/>
      </c>
      <c r="C11" s="15">
        <f>-Assumptions!C13</f>
        <v/>
      </c>
      <c r="D11" s="15">
        <f>-Assumptions!D13</f>
        <v/>
      </c>
    </row>
    <row r="12" ht="15" customHeight="1" s="9">
      <c r="A12" s="12" t="inlineStr">
        <is>
          <t>CFF</t>
        </is>
      </c>
      <c r="B12" s="15">
        <f>B10+B11</f>
        <v/>
      </c>
      <c r="C12" s="15">
        <f>C10+C11</f>
        <v/>
      </c>
      <c r="D12" s="15">
        <f>D10+D11</f>
        <v/>
      </c>
    </row>
    <row r="13" ht="23.85" customHeight="1" s="9">
      <c r="A13" s="12" t="inlineStr">
        <is>
          <t>Net change in cash</t>
        </is>
      </c>
      <c r="B13" s="15">
        <f>B7+B9+B12</f>
        <v/>
      </c>
      <c r="C13" s="15">
        <f>C7+C9+C12</f>
        <v/>
      </c>
      <c r="D13" s="15">
        <f>D7+D9+D12</f>
        <v/>
      </c>
    </row>
    <row r="14" ht="23.85" customHeight="1" s="9">
      <c r="A14" s="12" t="inlineStr">
        <is>
          <t>Opening cash</t>
        </is>
      </c>
      <c r="B14" s="15">
        <f>Assumptions!B14</f>
        <v/>
      </c>
      <c r="C14" s="15">
        <f>B15</f>
        <v/>
      </c>
      <c r="D14" s="15">
        <f>C15</f>
        <v/>
      </c>
    </row>
    <row r="15" ht="23.85" customHeight="1" s="9">
      <c r="A15" s="12" t="inlineStr">
        <is>
          <t>Ending cash</t>
        </is>
      </c>
      <c r="B15" s="15">
        <f>B14+B13</f>
        <v/>
      </c>
      <c r="C15" s="15">
        <f>C14+C13</f>
        <v/>
      </c>
      <c r="D15" s="15">
        <f>D14+D13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8" min="1" max="1"/>
    <col width="15" customWidth="1" style="9" min="2" max="2"/>
    <col width="15" customWidth="1" style="9" min="3" max="3"/>
    <col width="15" customWidth="1" style="9" min="4" max="4"/>
  </cols>
  <sheetData>
    <row r="1" ht="19.7" customHeight="1" s="9">
      <c r="A1" s="10" t="inlineStr">
        <is>
          <t>Balance sheet</t>
        </is>
      </c>
    </row>
    <row r="3" ht="15" customHeight="1" s="9">
      <c r="A3" s="11" t="inlineStr">
        <is>
          <t>Line</t>
        </is>
      </c>
      <c r="B3" s="11" t="inlineStr">
        <is>
          <t>Year 1</t>
        </is>
      </c>
      <c r="C3" s="11" t="inlineStr">
        <is>
          <t>Year 2</t>
        </is>
      </c>
      <c r="D3" s="11" t="inlineStr">
        <is>
          <t>Year 3</t>
        </is>
      </c>
    </row>
    <row r="4" ht="23.85" customHeight="1" s="9">
      <c r="A4" s="12" t="inlineStr">
        <is>
          <t>Cash</t>
        </is>
      </c>
      <c r="B4" s="15">
        <f>CF!B15</f>
        <v/>
      </c>
      <c r="C4" s="15">
        <f>CF!C15</f>
        <v/>
      </c>
      <c r="D4" s="15">
        <f>CF!D15</f>
        <v/>
      </c>
    </row>
    <row r="5" ht="23.85" customHeight="1" s="9">
      <c r="A5" s="12" t="inlineStr">
        <is>
          <t>Net working capital</t>
        </is>
      </c>
      <c r="B5" s="15">
        <f>Assumptions!B18+Assumptions!B11</f>
        <v/>
      </c>
      <c r="C5" s="15">
        <f>B5+Assumptions!C11</f>
        <v/>
      </c>
      <c r="D5" s="15">
        <f>C5+Assumptions!D11</f>
        <v/>
      </c>
    </row>
    <row r="6" ht="23.85" customHeight="1" s="9">
      <c r="A6" s="12" t="inlineStr">
        <is>
          <t>Net PP&amp;E</t>
        </is>
      </c>
      <c r="B6" s="15">
        <f>Assumptions!B15+Assumptions!B10-IS!B8</f>
        <v/>
      </c>
      <c r="C6" s="15">
        <f>B6+Assumptions!C10-IS!C8</f>
        <v/>
      </c>
      <c r="D6" s="15">
        <f>C6+Assumptions!D10-IS!D8</f>
        <v/>
      </c>
    </row>
    <row r="7" ht="23.85" customHeight="1" s="9">
      <c r="A7" s="12" t="inlineStr">
        <is>
          <t>Total assets</t>
        </is>
      </c>
      <c r="B7" s="15">
        <f>B4+B5+B6</f>
        <v/>
      </c>
      <c r="C7" s="15">
        <f>C4+C5+C6</f>
        <v/>
      </c>
      <c r="D7" s="15">
        <f>D4+D5+D6</f>
        <v/>
      </c>
    </row>
    <row r="9" ht="23.85" customHeight="1" s="9">
      <c r="A9" s="12" t="inlineStr">
        <is>
          <t>Debt</t>
        </is>
      </c>
      <c r="B9" s="15">
        <f>Assumptions!B16+Assumptions!B12</f>
        <v/>
      </c>
      <c r="C9" s="15">
        <f>B9+Assumptions!C12</f>
        <v/>
      </c>
      <c r="D9" s="15">
        <f>C9+Assumptions!D12</f>
        <v/>
      </c>
    </row>
    <row r="10" ht="23.85" customHeight="1" s="9">
      <c r="A10" s="12" t="inlineStr">
        <is>
          <t>Equity</t>
        </is>
      </c>
      <c r="B10" s="15">
        <f>Assumptions!B17+IS!B13-Assumptions!B13</f>
        <v/>
      </c>
      <c r="C10" s="15">
        <f>B10+IS!C13-Assumptions!C13</f>
        <v/>
      </c>
      <c r="D10" s="15">
        <f>C10+IS!D13-Assumptions!D13</f>
        <v/>
      </c>
    </row>
    <row r="11" ht="23.85" customHeight="1" s="9">
      <c r="A11" s="12" t="inlineStr">
        <is>
          <t>Total liabilities &amp; equity</t>
        </is>
      </c>
      <c r="B11" s="15">
        <f>B9+B10</f>
        <v/>
      </c>
      <c r="C11" s="15">
        <f>C9+C10</f>
        <v/>
      </c>
      <c r="D11" s="15">
        <f>D9+D10</f>
        <v/>
      </c>
    </row>
    <row r="13" ht="15" customHeight="1" s="9">
      <c r="A13" s="12" t="inlineStr">
        <is>
          <t>Balance check (must be 0)</t>
        </is>
      </c>
      <c r="B13" s="15">
        <f>B7-B11</f>
        <v/>
      </c>
      <c r="C13" s="15">
        <f>C7-C11</f>
        <v/>
      </c>
      <c r="D13" s="15">
        <f>D7-D11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9.7" customHeight="1" s="9">
      <c r="A1" s="10" t="inlineStr">
        <is>
          <t>How the statements link</t>
        </is>
      </c>
    </row>
    <row r="3" ht="15" customHeight="1" s="9">
      <c r="A3" s="8" t="inlineStr">
        <is>
          <t>Net income flows to cash flow and to equity.</t>
        </is>
      </c>
    </row>
    <row r="4" ht="15" customHeight="1" s="9">
      <c r="A4" s="8" t="inlineStr">
        <is>
          <t>D&amp;A is added back in cash flow and reduces net PP&amp;E.</t>
        </is>
      </c>
    </row>
    <row r="5" ht="15" customHeight="1" s="9">
      <c r="A5" s="8" t="inlineStr">
        <is>
          <t>Capex increases PP&amp;E and is a use of cash.</t>
        </is>
      </c>
    </row>
    <row r="6" ht="15" customHeight="1" s="9">
      <c r="A6" s="8" t="inlineStr">
        <is>
          <t>Debt issued / repaid hits cash and the debt line.</t>
        </is>
      </c>
    </row>
    <row r="7" ht="15" customHeight="1" s="9">
      <c r="A7" s="8" t="inlineStr">
        <is>
          <t>Ending cash on CF is the cash line on the balance sheet.</t>
        </is>
      </c>
    </row>
    <row r="8" ht="15" customHeight="1" s="9">
      <c r="A8" s="8" t="inlineStr">
        <is>
          <t>Balance check must stay 0. If it is not 0 after you edit inputs, a link broke.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2026-08-27T13:48:46Z</dcterms:created>
  <dcterms:modified xmlns:dcterms="http://purl.org/dc/terms/" xmlns:xsi="http://www.w3.org/2001/XMLSchema-instance" xsi:type="dcterms:W3CDTF">2026-09-28T00:46:06Z</dcterms:modified>
  <cp:revision>0</cp:revision>
</cp:coreProperties>
</file>